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2caab289d75d30f/Documents/Seneca/SCM 840/"/>
    </mc:Choice>
  </mc:AlternateContent>
  <xr:revisionPtr revIDLastSave="102" documentId="11_60F0FB1DA767AF12BCA735E50B529A716F301CBF" xr6:coauthVersionLast="47" xr6:coauthVersionMax="47" xr10:uidLastSave="{EF133E07-94CA-484C-96D3-31A006D605ED}"/>
  <bookViews>
    <workbookView xWindow="-108" yWindow="-108" windowWidth="23256" windowHeight="12456" activeTab="1" xr2:uid="{00000000-000D-0000-FFFF-FFFF00000000}"/>
  </bookViews>
  <sheets>
    <sheet name="Shipments" sheetId="1" r:id="rId1"/>
    <sheet name="Forecast" sheetId="2" r:id="rId2"/>
    <sheet name="Freight" sheetId="4" r:id="rId3"/>
  </sheets>
  <externalReferences>
    <externalReference r:id="rId4"/>
  </externalReferences>
  <definedNames>
    <definedName name="Driv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D14" i="4"/>
  <c r="K20" i="4"/>
  <c r="K18" i="4"/>
  <c r="K16" i="4"/>
  <c r="K14" i="4"/>
  <c r="K12" i="4"/>
  <c r="D20" i="4"/>
  <c r="D18" i="4"/>
  <c r="D16" i="4"/>
  <c r="D12" i="4"/>
  <c r="S6" i="4"/>
  <c r="S7" i="4"/>
  <c r="S8" i="4"/>
  <c r="S9" i="4"/>
  <c r="S5" i="4"/>
  <c r="R6" i="4"/>
  <c r="R7" i="4"/>
  <c r="R8" i="4"/>
  <c r="R9" i="4"/>
  <c r="R5" i="4"/>
  <c r="Q6" i="4"/>
  <c r="Q7" i="4"/>
  <c r="Q8" i="4"/>
  <c r="Q9" i="4"/>
  <c r="Q5" i="4"/>
  <c r="O8" i="4"/>
  <c r="O6" i="4"/>
  <c r="O7" i="4"/>
  <c r="O9" i="4"/>
  <c r="O5" i="4"/>
  <c r="P6" i="4"/>
  <c r="P7" i="4"/>
  <c r="P8" i="4"/>
  <c r="P9" i="4"/>
  <c r="P5" i="4"/>
  <c r="M6" i="4"/>
  <c r="M7" i="4"/>
  <c r="M8" i="4"/>
  <c r="M9" i="4"/>
  <c r="M5" i="4"/>
  <c r="L6" i="4"/>
  <c r="L7" i="4"/>
  <c r="L8" i="4"/>
  <c r="L9" i="4"/>
  <c r="L5" i="4"/>
  <c r="J6" i="4"/>
  <c r="J7" i="4"/>
  <c r="J8" i="4"/>
  <c r="J9" i="4"/>
  <c r="J5" i="4"/>
  <c r="I6" i="4"/>
  <c r="I7" i="4"/>
  <c r="I8" i="4"/>
  <c r="I9" i="4"/>
  <c r="I5" i="4"/>
  <c r="H6" i="4"/>
  <c r="H7" i="4"/>
  <c r="H8" i="4"/>
  <c r="H9" i="4"/>
  <c r="H5" i="4"/>
  <c r="C6" i="4"/>
  <c r="C7" i="4"/>
  <c r="C8" i="4"/>
  <c r="C9" i="4"/>
  <c r="C5" i="4"/>
  <c r="C11" i="1"/>
  <c r="I11" i="1"/>
  <c r="N11" i="1"/>
  <c r="C12" i="1"/>
  <c r="F12" i="1"/>
  <c r="I12" i="1"/>
  <c r="N12" i="1"/>
  <c r="B12" i="1"/>
  <c r="B11" i="1"/>
  <c r="E11" i="1" l="1"/>
  <c r="I1" i="4"/>
  <c r="H1" i="2"/>
  <c r="C4" i="4"/>
  <c r="C3" i="4"/>
  <c r="D4" i="2"/>
  <c r="D5" i="2"/>
  <c r="D6" i="2"/>
  <c r="D7" i="2"/>
  <c r="D8" i="2"/>
  <c r="D9" i="2"/>
  <c r="D3" i="2"/>
  <c r="H6" i="2"/>
  <c r="H7" i="2"/>
  <c r="H8" i="2"/>
  <c r="H9" i="2"/>
  <c r="A4" i="2"/>
  <c r="A4" i="4" s="1"/>
  <c r="B4" i="2"/>
  <c r="C4" i="2"/>
  <c r="A5" i="2"/>
  <c r="A5" i="4" s="1"/>
  <c r="C5" i="2"/>
  <c r="E5" i="2" s="1"/>
  <c r="G5" i="2" s="1"/>
  <c r="J5" i="2" s="1"/>
  <c r="A6" i="2"/>
  <c r="A6" i="4" s="1"/>
  <c r="C6" i="2"/>
  <c r="E6" i="2" s="1"/>
  <c r="G6" i="2" s="1"/>
  <c r="J6" i="2" s="1"/>
  <c r="L6" i="2" s="1"/>
  <c r="A7" i="2"/>
  <c r="A7" i="4" s="1"/>
  <c r="C7" i="2"/>
  <c r="E7" i="2" s="1"/>
  <c r="G7" i="2" s="1"/>
  <c r="J7" i="2" s="1"/>
  <c r="A8" i="2"/>
  <c r="A8" i="4" s="1"/>
  <c r="C8" i="2"/>
  <c r="E8" i="2" s="1"/>
  <c r="G8" i="2" s="1"/>
  <c r="J8" i="2" s="1"/>
  <c r="A9" i="2"/>
  <c r="A9" i="4" s="1"/>
  <c r="C9" i="2"/>
  <c r="E9" i="2" s="1"/>
  <c r="G9" i="2" s="1"/>
  <c r="J9" i="2" s="1"/>
  <c r="C3" i="2"/>
  <c r="B3" i="2"/>
  <c r="A3" i="2"/>
  <c r="A3" i="4" s="1"/>
  <c r="A1" i="2"/>
  <c r="A1" i="4" s="1"/>
  <c r="H5" i="2"/>
  <c r="E6" i="1"/>
  <c r="M6" i="1" s="1"/>
  <c r="E7" i="1"/>
  <c r="M7" i="1" s="1"/>
  <c r="E8" i="1"/>
  <c r="M8" i="1" s="1"/>
  <c r="E9" i="1"/>
  <c r="M9" i="1" s="1"/>
  <c r="E5" i="1"/>
  <c r="D6" i="1"/>
  <c r="B6" i="2" s="1"/>
  <c r="D7" i="1"/>
  <c r="O7" i="1" s="1"/>
  <c r="D8" i="1"/>
  <c r="O8" i="1" s="1"/>
  <c r="D9" i="1"/>
  <c r="G9" i="1" s="1"/>
  <c r="H9" i="1" s="1"/>
  <c r="K9" i="1" s="1"/>
  <c r="L9" i="1" s="1"/>
  <c r="D5" i="1"/>
  <c r="H1" i="1"/>
  <c r="G5" i="1" l="1"/>
  <c r="D11" i="1"/>
  <c r="O11" i="1" s="1"/>
  <c r="D12" i="1"/>
  <c r="O6" i="1"/>
  <c r="M5" i="1"/>
  <c r="E12" i="1"/>
  <c r="O9" i="1"/>
  <c r="B5" i="2"/>
  <c r="K5" i="2" s="1"/>
  <c r="L9" i="2"/>
  <c r="L5" i="2"/>
  <c r="L8" i="2"/>
  <c r="K6" i="2"/>
  <c r="L7" i="2"/>
  <c r="J9" i="1"/>
  <c r="B7" i="2"/>
  <c r="K7" i="2" s="1"/>
  <c r="B8" i="2"/>
  <c r="K8" i="2" s="1"/>
  <c r="B9" i="2"/>
  <c r="K9" i="2" s="1"/>
  <c r="O5" i="1"/>
  <c r="G8" i="1"/>
  <c r="H8" i="1" s="1"/>
  <c r="G7" i="1"/>
  <c r="H7" i="1" s="1"/>
  <c r="G6" i="1"/>
  <c r="H6" i="1" s="1"/>
  <c r="O12" i="1" l="1"/>
  <c r="M12" i="1"/>
  <c r="M11" i="1"/>
  <c r="H5" i="1"/>
  <c r="G11" i="1"/>
  <c r="G12" i="1"/>
  <c r="J6" i="1"/>
  <c r="K6" i="1"/>
  <c r="L6" i="1" s="1"/>
  <c r="J8" i="1"/>
  <c r="K8" i="1"/>
  <c r="L8" i="1" s="1"/>
  <c r="J7" i="1"/>
  <c r="K7" i="1"/>
  <c r="L7" i="1" s="1"/>
  <c r="J5" i="1" l="1"/>
  <c r="H12" i="1"/>
  <c r="H11" i="1"/>
  <c r="K11" i="1" s="1"/>
  <c r="K5" i="1"/>
  <c r="K12" i="1" l="1"/>
  <c r="J12" i="1"/>
  <c r="J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 Patel</author>
  </authors>
  <commentList>
    <comment ref="E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Verify with freight carrier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tc={608DE229-79C8-45DF-8AD6-FEAAD0BAD86B}</author>
    <author>tc={1F12D33A-0B23-4CFF-A9B0-0750481D64D4}</author>
    <author>tc={554D0E67-C4EE-4FE0-9F1F-9566AC5DEC7B}</author>
    <author>Ash Patel</author>
  </authors>
  <commentList>
    <comment ref="E3" authorId="0" shapeId="0" xr:uid="{608DE229-79C8-45DF-8AD6-FEAAD0BAD86B}">
      <text>
        <t>[Threaded comment]
Your version of Excel allows you to read this threaded comment; however, any edits to it will get removed if the file is opened in a newer version of Excel. Learn more: https://go.microsoft.com/fwlink/?linkid=870924
Comment:
    Weight per unit lbs</t>
      </text>
    </comment>
    <comment ref="F3" authorId="1" shapeId="0" xr:uid="{1F12D33A-0B23-4CFF-A9B0-0750481D64D4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 per carton in lbs</t>
      </text>
    </comment>
    <comment ref="G3" authorId="2" shapeId="0" xr:uid="{554D0E67-C4EE-4FE0-9F1F-9566AC5DEC7B}">
      <text>
        <t>[Threaded comment]
Your version of Excel allows you to read this threaded comment; however, any edits to it will get removed if the file is opened in a newer version of Excel. Learn more: https://go.microsoft.com/fwlink/?linkid=870924
Comment:
    Cartons per pallet in lbs</t>
      </text>
    </comment>
    <comment ref="P13" authorId="3" shapeId="0" xr:uid="{00000000-0006-0000-0200-000001000000}">
      <text>
        <r>
          <rPr>
            <b/>
            <sz val="9"/>
            <color indexed="81"/>
            <rFont val="Tahoma"/>
            <family val="2"/>
          </rPr>
          <t>Charged per lb of Gross Weight.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3" authorId="3" shapeId="0" xr:uid="{00000000-0006-0000-0200-000002000000}">
      <text>
        <r>
          <rPr>
            <b/>
            <sz val="9"/>
            <color indexed="81"/>
            <rFont val="Tahoma"/>
            <family val="2"/>
          </rPr>
          <t>Charged as % of Revenue.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" authorId="3" shapeId="0" xr:uid="{00000000-0006-0000-0200-000003000000}">
      <text>
        <r>
          <rPr>
            <b/>
            <sz val="9"/>
            <color indexed="81"/>
            <rFont val="Tahoma"/>
            <family val="2"/>
          </rPr>
          <t>Charged as $ per KM travelled.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<sst xmlns="http://schemas.openxmlformats.org/spreadsheetml/2006/main" count="96" uniqueCount="69">
  <si>
    <t>SenCol Incorporated</t>
  </si>
  <si>
    <t>Product</t>
  </si>
  <si>
    <t>Fixo</t>
  </si>
  <si>
    <t>Galbar</t>
  </si>
  <si>
    <t>Wexit</t>
  </si>
  <si>
    <t>Trufir</t>
  </si>
  <si>
    <t>Oxtin</t>
  </si>
  <si>
    <t>Name</t>
  </si>
  <si>
    <t>%</t>
  </si>
  <si>
    <t>Rejects</t>
  </si>
  <si>
    <t>Rating</t>
  </si>
  <si>
    <t>Allowance</t>
  </si>
  <si>
    <t>Award</t>
  </si>
  <si>
    <t>% Change</t>
  </si>
  <si>
    <t>Sell</t>
  </si>
  <si>
    <t>Price</t>
  </si>
  <si>
    <t>Gross</t>
  </si>
  <si>
    <t>Revenue</t>
  </si>
  <si>
    <t>COGS</t>
  </si>
  <si>
    <t>Profit</t>
  </si>
  <si>
    <t>Margin</t>
  </si>
  <si>
    <t>Adjusted</t>
  </si>
  <si>
    <t>2015-2016</t>
  </si>
  <si>
    <t>Contribution</t>
  </si>
  <si>
    <t>Quality</t>
  </si>
  <si>
    <t>Bonus</t>
  </si>
  <si>
    <t>QTY Shipped</t>
  </si>
  <si>
    <t>QTY</t>
  </si>
  <si>
    <t>Net</t>
  </si>
  <si>
    <t>2015-2019</t>
  </si>
  <si>
    <t>Freight Analysis</t>
  </si>
  <si>
    <t>WPU</t>
  </si>
  <si>
    <t>UPC</t>
  </si>
  <si>
    <t>CPP</t>
  </si>
  <si>
    <t>Weight</t>
  </si>
  <si>
    <t>Total</t>
  </si>
  <si>
    <t>Cartons</t>
  </si>
  <si>
    <t>Pallets</t>
  </si>
  <si>
    <t>Truck</t>
  </si>
  <si>
    <t>Trips</t>
  </si>
  <si>
    <t>Number</t>
  </si>
  <si>
    <t>Freight</t>
  </si>
  <si>
    <t>Cost</t>
  </si>
  <si>
    <t>Accessorials</t>
  </si>
  <si>
    <t>Insurance</t>
  </si>
  <si>
    <t>Maintainance</t>
  </si>
  <si>
    <t>Total Freight</t>
  </si>
  <si>
    <t>FCPR</t>
  </si>
  <si>
    <t>$ Per Lb</t>
  </si>
  <si>
    <t>Transit</t>
  </si>
  <si>
    <t>KM</t>
  </si>
  <si>
    <t>FCPU</t>
  </si>
  <si>
    <t>Rate Table</t>
  </si>
  <si>
    <t>Policy Table</t>
  </si>
  <si>
    <t>Average</t>
  </si>
  <si>
    <t>Highest 2019 Qty</t>
  </si>
  <si>
    <t>Lowest 2019 QTY</t>
  </si>
  <si>
    <t>2nd Highest Total Cartons</t>
  </si>
  <si>
    <t>3rd Lowest Total Cartons</t>
  </si>
  <si>
    <t>Shipping Forecast</t>
  </si>
  <si>
    <t>Shipment Analysis</t>
  </si>
  <si>
    <t>Number of Products with less than 25,000 Transit KM</t>
  </si>
  <si>
    <t>Total 2019 Revenue that is in in excess of $100M</t>
  </si>
  <si>
    <t>Customer</t>
  </si>
  <si>
    <t>Score</t>
  </si>
  <si>
    <t>Most common Customer Score</t>
  </si>
  <si>
    <t>Median Truck Trips</t>
  </si>
  <si>
    <t>Overall Freight Cost as % of Revenue</t>
  </si>
  <si>
    <t>Projected Total Freight Cost if we add a 15%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</si>
</sst>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409]d\-mmm\-yy;@"/>
    <numFmt numFmtId="167" formatCode="_(* #,##0_);_(* \(#,##0\);_(* &quot;-&quot;??_);_(@_)"/>
    <numFmt numFmtId="168" formatCode="0.0%"/>
    <numFmt numFmtId="169" formatCode="_(&quot;$&quot;* #,##0_);_(&quot;$&quot;* \(#,##0\);_(&quot;$&quot;* &quot;-&quot;??_);_(@_)"/>
    <numFmt numFmtId="170" formatCode="_(* #,##0_);_(* \(#,##0\);_(* &quot;-&quot;???_);_(@_)"/>
    <numFmt numFmtId="171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166" fontId="0" fillId="0" borderId="0" xfId="0" applyNumberFormat="1"/>
    <xf numFmtId="167" fontId="0" fillId="0" borderId="0" xfId="1" applyNumberFormat="1" applyFont="1"/>
    <xf numFmtId="168" fontId="0" fillId="0" borderId="0" xfId="3" applyNumberFormat="1" applyFont="1"/>
    <xf numFmtId="0" fontId="0" fillId="2" borderId="0" xfId="0" applyFill="1"/>
    <xf numFmtId="167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167" fontId="2" fillId="0" borderId="1" xfId="1" applyNumberFormat="1" applyFont="1" applyBorder="1"/>
    <xf numFmtId="167" fontId="0" fillId="0" borderId="1" xfId="1" applyNumberFormat="1" applyFont="1" applyBorder="1"/>
    <xf numFmtId="168" fontId="0" fillId="0" borderId="1" xfId="3" applyNumberFormat="1" applyFont="1" applyBorder="1"/>
    <xf numFmtId="169" fontId="2" fillId="0" borderId="1" xfId="2" applyNumberFormat="1" applyFont="1" applyBorder="1"/>
    <xf numFmtId="169" fontId="0" fillId="0" borderId="1" xfId="2" applyNumberFormat="1" applyFont="1" applyBorder="1"/>
    <xf numFmtId="168" fontId="0" fillId="0" borderId="1" xfId="3" applyNumberFormat="1" applyFont="1" applyFill="1" applyBorder="1" applyAlignment="1">
      <alignment horizontal="center"/>
    </xf>
    <xf numFmtId="169" fontId="0" fillId="0" borderId="1" xfId="2" applyNumberFormat="1" applyFont="1" applyFill="1" applyBorder="1" applyAlignment="1">
      <alignment horizontal="center"/>
    </xf>
    <xf numFmtId="170" fontId="2" fillId="0" borderId="1" xfId="0" applyNumberFormat="1" applyFont="1" applyBorder="1"/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10" fontId="0" fillId="6" borderId="0" xfId="0" applyNumberFormat="1" applyFill="1"/>
    <xf numFmtId="164" fontId="0" fillId="7" borderId="0" xfId="2" applyFont="1" applyFill="1"/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169" fontId="0" fillId="0" borderId="1" xfId="2" applyNumberFormat="1" applyFont="1" applyBorder="1" applyAlignment="1">
      <alignment horizontal="center"/>
    </xf>
    <xf numFmtId="0" fontId="2" fillId="0" borderId="1" xfId="0" applyFont="1" applyBorder="1"/>
    <xf numFmtId="169" fontId="1" fillId="0" borderId="1" xfId="2" applyNumberFormat="1" applyFont="1" applyBorder="1"/>
    <xf numFmtId="0" fontId="2" fillId="2" borderId="1" xfId="0" applyFont="1" applyFill="1" applyBorder="1"/>
    <xf numFmtId="167" fontId="0" fillId="6" borderId="1" xfId="0" applyNumberFormat="1" applyFill="1" applyBorder="1"/>
    <xf numFmtId="167" fontId="0" fillId="7" borderId="1" xfId="0" applyNumberFormat="1" applyFill="1" applyBorder="1"/>
    <xf numFmtId="0" fontId="3" fillId="5" borderId="0" xfId="0" applyFont="1" applyFill="1"/>
    <xf numFmtId="167" fontId="3" fillId="5" borderId="0" xfId="0" applyNumberFormat="1" applyFont="1" applyFill="1"/>
    <xf numFmtId="0" fontId="2" fillId="2" borderId="0" xfId="1" applyNumberFormat="1" applyFont="1" applyFill="1" applyAlignment="1">
      <alignment horizontal="center"/>
    </xf>
    <xf numFmtId="164" fontId="0" fillId="3" borderId="0" xfId="2" applyFont="1" applyFill="1"/>
    <xf numFmtId="10" fontId="0" fillId="4" borderId="0" xfId="0" applyNumberFormat="1" applyFill="1"/>
    <xf numFmtId="164" fontId="0" fillId="4" borderId="0" xfId="2" applyFont="1" applyFill="1"/>
    <xf numFmtId="0" fontId="6" fillId="0" borderId="0" xfId="0" applyFont="1"/>
    <xf numFmtId="169" fontId="0" fillId="0" borderId="1" xfId="0" applyNumberFormat="1" applyBorder="1"/>
    <xf numFmtId="167" fontId="0" fillId="0" borderId="1" xfId="0" applyNumberFormat="1" applyBorder="1"/>
    <xf numFmtId="168" fontId="0" fillId="8" borderId="1" xfId="3" applyNumberFormat="1" applyFont="1" applyFill="1" applyBorder="1"/>
    <xf numFmtId="169" fontId="0" fillId="5" borderId="1" xfId="2" applyNumberFormat="1" applyFont="1" applyFill="1" applyBorder="1"/>
    <xf numFmtId="167" fontId="0" fillId="5" borderId="1" xfId="0" applyNumberFormat="1" applyFill="1" applyBorder="1"/>
    <xf numFmtId="167" fontId="0" fillId="0" borderId="1" xfId="1" applyNumberFormat="1" applyFont="1" applyFill="1" applyBorder="1"/>
    <xf numFmtId="171" fontId="0" fillId="0" borderId="1" xfId="1" applyNumberFormat="1" applyFont="1" applyFill="1" applyBorder="1"/>
    <xf numFmtId="171" fontId="0" fillId="0" borderId="1" xfId="0" applyNumberFormat="1" applyBorder="1"/>
    <xf numFmtId="0" fontId="2" fillId="0" borderId="1" xfId="1" applyNumberFormat="1" applyFont="1" applyFill="1" applyBorder="1"/>
    <xf numFmtId="168" fontId="2" fillId="0" borderId="1" xfId="3" applyNumberFormat="1" applyFont="1" applyBorder="1"/>
    <xf numFmtId="164" fontId="0" fillId="0" borderId="1" xfId="2" applyFont="1" applyFill="1" applyBorder="1"/>
    <xf numFmtId="0" fontId="7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168" fontId="7" fillId="5" borderId="1" xfId="3" applyNumberFormat="1" applyFont="1" applyFill="1" applyBorder="1"/>
    <xf numFmtId="0" fontId="3" fillId="5" borderId="1" xfId="0" applyFont="1" applyFill="1" applyBorder="1"/>
    <xf numFmtId="0" fontId="2" fillId="2" borderId="1" xfId="1" applyNumberFormat="1" applyFont="1" applyFill="1" applyBorder="1" applyAlignment="1">
      <alignment horizontal="center"/>
    </xf>
    <xf numFmtId="164" fontId="0" fillId="9" borderId="1" xfId="2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5"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2015 Net Quantity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[1]Forecast!$B$3:$B$4</c:f>
              <c:strCache>
                <c:ptCount val="1"/>
                <c:pt idx="0">
                  <c:v>2015 Net</c:v>
                </c:pt>
              </c:strCache>
            </c:strRef>
          </c:tx>
          <c:dPt>
            <c:idx val="3"/>
            <c:bubble3D val="0"/>
            <c:explosion val="20"/>
            <c:extLst>
              <c:ext xmlns:c16="http://schemas.microsoft.com/office/drawing/2014/chart" uri="{C3380CC4-5D6E-409C-BE32-E72D297353CC}">
                <c16:uniqueId val="{00000000-C7D7-4C81-B75B-A7AE2926ACA8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[1]Forecast!$A$5:$A$9</c:f>
              <c:strCache>
                <c:ptCount val="5"/>
                <c:pt idx="0">
                  <c:v>Fixo</c:v>
                </c:pt>
                <c:pt idx="1">
                  <c:v>Galbar</c:v>
                </c:pt>
                <c:pt idx="2">
                  <c:v>Wexit</c:v>
                </c:pt>
                <c:pt idx="3">
                  <c:v>Trufir</c:v>
                </c:pt>
                <c:pt idx="4">
                  <c:v>Oxtin</c:v>
                </c:pt>
              </c:strCache>
            </c:strRef>
          </c:cat>
          <c:val>
            <c:numRef>
              <c:f>[1]Forecast!$B$5:$B$9</c:f>
              <c:numCache>
                <c:formatCode>General</c:formatCode>
                <c:ptCount val="5"/>
                <c:pt idx="0">
                  <c:v>881000</c:v>
                </c:pt>
                <c:pt idx="1">
                  <c:v>1058600</c:v>
                </c:pt>
                <c:pt idx="2">
                  <c:v>628750</c:v>
                </c:pt>
                <c:pt idx="3">
                  <c:v>481140</c:v>
                </c:pt>
                <c:pt idx="4">
                  <c:v>944000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D7-4C81-B75B-A7AE2926A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2016 - 2019 Projections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[1]Forecast!$C$3:$C$4</c:f>
              <c:strCache>
                <c:ptCount val="1"/>
                <c:pt idx="0">
                  <c:v>2016 QTY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[1]Forecast!$A$5:$A$9</c:f>
              <c:strCache>
                <c:ptCount val="5"/>
                <c:pt idx="0">
                  <c:v>Fixo</c:v>
                </c:pt>
                <c:pt idx="1">
                  <c:v>Galbar</c:v>
                </c:pt>
                <c:pt idx="2">
                  <c:v>Wexit</c:v>
                </c:pt>
                <c:pt idx="3">
                  <c:v>Trufir</c:v>
                </c:pt>
                <c:pt idx="4">
                  <c:v>Oxtin</c:v>
                </c:pt>
              </c:strCache>
            </c:strRef>
          </c:cat>
          <c:val>
            <c:numRef>
              <c:f>[1]Forecast!$C$5:$C$9</c:f>
              <c:numCache>
                <c:formatCode>General</c:formatCode>
                <c:ptCount val="5"/>
                <c:pt idx="0">
                  <c:v>791065</c:v>
                </c:pt>
                <c:pt idx="1">
                  <c:v>1127409</c:v>
                </c:pt>
                <c:pt idx="2">
                  <c:v>540725</c:v>
                </c:pt>
                <c:pt idx="3">
                  <c:v>492206</c:v>
                </c:pt>
                <c:pt idx="4">
                  <c:v>900576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F-4089-AA67-2F2877A33EEA}"/>
            </c:ext>
          </c:extLst>
        </c:ser>
        <c:ser>
          <c:idx val="5"/>
          <c:order val="2"/>
          <c:tx>
            <c:strRef>
              <c:f>[1]Forecast!$G$3:$G$4</c:f>
              <c:strCache>
                <c:ptCount val="1"/>
                <c:pt idx="0">
                  <c:v>2018 QTY</c:v>
                </c:pt>
              </c:strCache>
            </c:strRef>
          </c:tx>
          <c:spPr>
            <a:solidFill>
              <a:schemeClr val="tx1"/>
            </a:solidFill>
          </c:spPr>
          <c:invertIfNegative val="0"/>
          <c:cat>
            <c:strRef>
              <c:f>[1]Forecast!$A$5:$A$9</c:f>
              <c:strCache>
                <c:ptCount val="5"/>
                <c:pt idx="0">
                  <c:v>Fixo</c:v>
                </c:pt>
                <c:pt idx="1">
                  <c:v>Galbar</c:v>
                </c:pt>
                <c:pt idx="2">
                  <c:v>Wexit</c:v>
                </c:pt>
                <c:pt idx="3">
                  <c:v>Trufir</c:v>
                </c:pt>
                <c:pt idx="4">
                  <c:v>Oxtin</c:v>
                </c:pt>
              </c:strCache>
            </c:strRef>
          </c:cat>
          <c:val>
            <c:numRef>
              <c:f>[1]Forecast!$G$5:$G$9</c:f>
              <c:numCache>
                <c:formatCode>General</c:formatCode>
                <c:ptCount val="5"/>
                <c:pt idx="0">
                  <c:v>770813.73599999992</c:v>
                </c:pt>
                <c:pt idx="1">
                  <c:v>1098547.3295999998</c:v>
                </c:pt>
                <c:pt idx="2">
                  <c:v>547646.27999999991</c:v>
                </c:pt>
                <c:pt idx="3">
                  <c:v>498506.23679999996</c:v>
                </c:pt>
                <c:pt idx="4">
                  <c:v>877521.25439999986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5F-4089-AA67-2F2877A33EEA}"/>
            </c:ext>
          </c:extLst>
        </c:ser>
        <c:ser>
          <c:idx val="8"/>
          <c:order val="3"/>
          <c:tx>
            <c:strRef>
              <c:f>[1]Forecast!$J$3:$J$4</c:f>
              <c:strCache>
                <c:ptCount val="1"/>
                <c:pt idx="0">
                  <c:v>2019 QTY</c:v>
                </c:pt>
              </c:strCache>
            </c:strRef>
          </c:tx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255F-4089-AA67-2F2877A33EEA}"/>
              </c:ext>
            </c:extLst>
          </c:dPt>
          <c:cat>
            <c:strRef>
              <c:f>[1]Forecast!$A$5:$A$9</c:f>
              <c:strCache>
                <c:ptCount val="5"/>
                <c:pt idx="0">
                  <c:v>Fixo</c:v>
                </c:pt>
                <c:pt idx="1">
                  <c:v>Galbar</c:v>
                </c:pt>
                <c:pt idx="2">
                  <c:v>Wexit</c:v>
                </c:pt>
                <c:pt idx="3">
                  <c:v>Trufir</c:v>
                </c:pt>
                <c:pt idx="4">
                  <c:v>Oxtin</c:v>
                </c:pt>
              </c:strCache>
            </c:strRef>
          </c:cat>
          <c:val>
            <c:numRef>
              <c:f>[1]Forecast!$J$5:$J$9</c:f>
              <c:numCache>
                <c:formatCode>General</c:formatCode>
                <c:ptCount val="5"/>
                <c:pt idx="0">
                  <c:v>819375.00136799994</c:v>
                </c:pt>
                <c:pt idx="1">
                  <c:v>1180938.3793199998</c:v>
                </c:pt>
                <c:pt idx="2">
                  <c:v>562980.37583999988</c:v>
                </c:pt>
                <c:pt idx="3">
                  <c:v>529912.12971839996</c:v>
                </c:pt>
                <c:pt idx="4">
                  <c:v>902091.84952319984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5F-4089-AA67-2F2877A33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97918744"/>
        <c:axId val="492201224"/>
      </c:barChart>
      <c:lineChart>
        <c:grouping val="standard"/>
        <c:varyColors val="0"/>
        <c:ser>
          <c:idx val="3"/>
          <c:order val="1"/>
          <c:tx>
            <c:strRef>
              <c:f>[1]Forecast!$E$3:$E$4</c:f>
              <c:strCache>
                <c:ptCount val="1"/>
                <c:pt idx="0">
                  <c:v>2017 QTY</c:v>
                </c:pt>
              </c:strCache>
            </c:strRef>
          </c:tx>
          <c:marker>
            <c:symbol val="none"/>
          </c:marker>
          <c:cat>
            <c:strRef>
              <c:f>[1]Forecast!$A$5:$A$9</c:f>
              <c:strCache>
                <c:ptCount val="5"/>
                <c:pt idx="0">
                  <c:v>Fixo</c:v>
                </c:pt>
                <c:pt idx="1">
                  <c:v>Galbar</c:v>
                </c:pt>
                <c:pt idx="2">
                  <c:v>Wexit</c:v>
                </c:pt>
                <c:pt idx="3">
                  <c:v>Trufir</c:v>
                </c:pt>
                <c:pt idx="4">
                  <c:v>Oxtin</c:v>
                </c:pt>
              </c:strCache>
            </c:strRef>
          </c:cat>
          <c:val>
            <c:numRef>
              <c:f>[1]Forecast!$E$5:$E$9</c:f>
              <c:numCache>
                <c:formatCode>General</c:formatCode>
                <c:ptCount val="5"/>
                <c:pt idx="0">
                  <c:v>759422.4</c:v>
                </c:pt>
                <c:pt idx="1">
                  <c:v>1082312.6399999999</c:v>
                </c:pt>
                <c:pt idx="2">
                  <c:v>519096</c:v>
                </c:pt>
                <c:pt idx="3">
                  <c:v>472517.76</c:v>
                </c:pt>
                <c:pt idx="4">
                  <c:v>864552.95999999996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5F-4089-AA67-2F2877A33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918744"/>
        <c:axId val="492201224"/>
      </c:lineChart>
      <c:catAx>
        <c:axId val="4979187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92201224"/>
        <c:crosses val="autoZero"/>
        <c:auto val="1"/>
        <c:lblAlgn val="ctr"/>
        <c:lblOffset val="100"/>
        <c:noMultiLvlLbl val="0"/>
      </c:catAx>
      <c:valAx>
        <c:axId val="4922012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4979187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10</xdr:row>
      <xdr:rowOff>19050</xdr:rowOff>
    </xdr:from>
    <xdr:to>
      <xdr:col>7</xdr:col>
      <xdr:colOff>114300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11</xdr:col>
      <xdr:colOff>676274</xdr:colOff>
      <xdr:row>40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nColOrdersExcelTHRE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ments"/>
      <sheetName val="Forecast"/>
      <sheetName val="Freight"/>
    </sheetNames>
    <sheetDataSet>
      <sheetData sheetId="0" refreshError="1"/>
      <sheetData sheetId="1">
        <row r="3">
          <cell r="B3">
            <v>2015</v>
          </cell>
          <cell r="C3">
            <v>2016</v>
          </cell>
          <cell r="E3">
            <v>2017</v>
          </cell>
          <cell r="G3">
            <v>2018</v>
          </cell>
          <cell r="J3">
            <v>2019</v>
          </cell>
        </row>
        <row r="4">
          <cell r="B4" t="str">
            <v>Net</v>
          </cell>
          <cell r="C4" t="str">
            <v>QTY</v>
          </cell>
          <cell r="E4" t="str">
            <v>QTY</v>
          </cell>
          <cell r="G4" t="str">
            <v>QTY</v>
          </cell>
          <cell r="J4" t="str">
            <v>QTY</v>
          </cell>
        </row>
        <row r="5">
          <cell r="A5" t="str">
            <v>Fixo</v>
          </cell>
          <cell r="B5">
            <v>881000</v>
          </cell>
          <cell r="C5">
            <v>791065</v>
          </cell>
          <cell r="E5">
            <v>759422.4</v>
          </cell>
          <cell r="G5">
            <v>770813.73599999992</v>
          </cell>
          <cell r="J5">
            <v>819375.00136799994</v>
          </cell>
        </row>
        <row r="6">
          <cell r="A6" t="str">
            <v>Galbar</v>
          </cell>
          <cell r="B6">
            <v>1058600</v>
          </cell>
          <cell r="C6">
            <v>1127409</v>
          </cell>
          <cell r="E6">
            <v>1082312.6399999999</v>
          </cell>
          <cell r="G6">
            <v>1098547.3295999998</v>
          </cell>
          <cell r="J6">
            <v>1180938.3793199998</v>
          </cell>
        </row>
        <row r="7">
          <cell r="A7" t="str">
            <v>Wexit</v>
          </cell>
          <cell r="B7">
            <v>628750</v>
          </cell>
          <cell r="C7">
            <v>540725</v>
          </cell>
          <cell r="E7">
            <v>519096</v>
          </cell>
          <cell r="G7">
            <v>547646.27999999991</v>
          </cell>
          <cell r="J7">
            <v>562980.37583999988</v>
          </cell>
        </row>
        <row r="8">
          <cell r="A8" t="str">
            <v>Trufir</v>
          </cell>
          <cell r="B8">
            <v>481140</v>
          </cell>
          <cell r="C8">
            <v>492206</v>
          </cell>
          <cell r="E8">
            <v>472517.76</v>
          </cell>
          <cell r="G8">
            <v>498506.23679999996</v>
          </cell>
          <cell r="J8">
            <v>529912.12971839996</v>
          </cell>
        </row>
        <row r="9">
          <cell r="A9" t="str">
            <v>Oxtin</v>
          </cell>
          <cell r="B9">
            <v>944000</v>
          </cell>
          <cell r="C9">
            <v>900576</v>
          </cell>
          <cell r="E9">
            <v>864552.95999999996</v>
          </cell>
          <cell r="G9">
            <v>877521.25439999986</v>
          </cell>
          <cell r="J9">
            <v>902091.84952319984</v>
          </cell>
        </row>
      </sheetData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ushfika Rahman" id="{1635BD73-DF7D-4BC4-A900-7753D2E0D051}" userId="d2caab289d75d30f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6-02-02T05:04:05.92" personId="{1635BD73-DF7D-4BC4-A900-7753D2E0D051}" id="{608DE229-79C8-45DF-8AD6-FEAAD0BAD86B}">
    <text>Weight per unit lbs</text>
  </threadedComment>
  <threadedComment ref="F3" dT="2026-02-02T05:04:59.19" personId="{1635BD73-DF7D-4BC4-A900-7753D2E0D051}" id="{1F12D33A-0B23-4CFF-A9B0-0750481D64D4}">
    <text>Units per carton in lbs</text>
  </threadedComment>
  <threadedComment ref="G3" dT="2026-02-02T05:05:19.64" personId="{1635BD73-DF7D-4BC4-A900-7753D2E0D051}" id="{554D0E67-C4EE-4FE0-9F1F-9566AC5DEC7B}">
    <text>Cartons per pallet in lbs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X12"/>
  <sheetViews>
    <sheetView workbookViewId="0">
      <selection activeCell="L6" sqref="L6"/>
    </sheetView>
  </sheetViews>
  <sheetFormatPr defaultRowHeight="14.4" x14ac:dyDescent="0.3"/>
  <cols>
    <col min="2" max="2" width="12.109375" bestFit="1" customWidth="1"/>
    <col min="3" max="3" width="9" bestFit="1" customWidth="1"/>
    <col min="4" max="4" width="10.5546875" bestFit="1" customWidth="1"/>
    <col min="7" max="7" width="13.6640625" bestFit="1" customWidth="1"/>
    <col min="8" max="10" width="16.33203125" bestFit="1" customWidth="1"/>
    <col min="11" max="11" width="8.109375" bestFit="1" customWidth="1"/>
    <col min="12" max="12" width="12.33203125" bestFit="1" customWidth="1"/>
    <col min="13" max="13" width="14.33203125" bestFit="1" customWidth="1"/>
    <col min="14" max="14" width="10.5546875" bestFit="1" customWidth="1"/>
    <col min="15" max="15" width="11.6640625" customWidth="1"/>
    <col min="17" max="17" width="12.5546875" bestFit="1" customWidth="1"/>
    <col min="18" max="18" width="13.33203125" bestFit="1" customWidth="1"/>
    <col min="19" max="19" width="10" bestFit="1" customWidth="1"/>
  </cols>
  <sheetData>
    <row r="1" spans="1:24" x14ac:dyDescent="0.3">
      <c r="A1" s="6" t="s">
        <v>0</v>
      </c>
      <c r="D1" s="6" t="s">
        <v>60</v>
      </c>
      <c r="H1" s="1">
        <f ca="1">NOW()</f>
        <v>46142.760548148151</v>
      </c>
    </row>
    <row r="3" spans="1:24" x14ac:dyDescent="0.3">
      <c r="A3" s="17" t="s">
        <v>1</v>
      </c>
      <c r="B3" s="18">
        <v>2015</v>
      </c>
      <c r="C3" s="18">
        <v>2015</v>
      </c>
      <c r="D3" s="18">
        <v>2015</v>
      </c>
      <c r="E3" s="18" t="s">
        <v>8</v>
      </c>
      <c r="F3" s="18" t="s">
        <v>14</v>
      </c>
      <c r="G3" s="18" t="s">
        <v>16</v>
      </c>
      <c r="H3" s="18" t="s">
        <v>21</v>
      </c>
      <c r="I3" s="18" t="s">
        <v>16</v>
      </c>
      <c r="J3" s="18" t="s">
        <v>16</v>
      </c>
      <c r="K3" s="18" t="s">
        <v>19</v>
      </c>
      <c r="L3" s="18" t="s">
        <v>23</v>
      </c>
      <c r="M3" s="18" t="s">
        <v>24</v>
      </c>
      <c r="N3" s="18">
        <v>2016</v>
      </c>
      <c r="O3" s="18" t="s">
        <v>13</v>
      </c>
      <c r="U3" s="7"/>
      <c r="V3" s="7"/>
      <c r="W3" s="7"/>
      <c r="X3" s="7"/>
    </row>
    <row r="4" spans="1:24" x14ac:dyDescent="0.3">
      <c r="A4" s="17" t="s">
        <v>7</v>
      </c>
      <c r="B4" s="18" t="s">
        <v>26</v>
      </c>
      <c r="C4" s="18" t="s">
        <v>9</v>
      </c>
      <c r="D4" s="18" t="s">
        <v>28</v>
      </c>
      <c r="E4" s="18" t="s">
        <v>9</v>
      </c>
      <c r="F4" s="18" t="s">
        <v>15</v>
      </c>
      <c r="G4" s="18" t="s">
        <v>17</v>
      </c>
      <c r="H4" s="18" t="s">
        <v>17</v>
      </c>
      <c r="I4" s="18" t="s">
        <v>18</v>
      </c>
      <c r="J4" s="18" t="s">
        <v>19</v>
      </c>
      <c r="K4" s="18" t="s">
        <v>20</v>
      </c>
      <c r="L4" s="18" t="s">
        <v>12</v>
      </c>
      <c r="M4" s="18" t="s">
        <v>25</v>
      </c>
      <c r="N4" s="18" t="s">
        <v>27</v>
      </c>
      <c r="O4" s="18" t="s">
        <v>22</v>
      </c>
      <c r="U4" s="7"/>
      <c r="V4" s="7"/>
      <c r="W4" s="7"/>
      <c r="X4" s="7"/>
    </row>
    <row r="5" spans="1:24" x14ac:dyDescent="0.3">
      <c r="A5" s="8" t="s">
        <v>2</v>
      </c>
      <c r="B5" s="9">
        <v>910000</v>
      </c>
      <c r="C5" s="9">
        <v>29000</v>
      </c>
      <c r="D5" s="10">
        <f>B5-C5</f>
        <v>881000</v>
      </c>
      <c r="E5" s="11">
        <f>C5/B5</f>
        <v>3.1868131868131866E-2</v>
      </c>
      <c r="F5" s="12">
        <v>145</v>
      </c>
      <c r="G5" s="13">
        <f>D5*F5</f>
        <v>127745000</v>
      </c>
      <c r="H5" s="13">
        <f>G5-C5*(F5+0.75)</f>
        <v>123518250</v>
      </c>
      <c r="I5" s="12">
        <v>26200000</v>
      </c>
      <c r="J5" s="13">
        <f>H5-I5</f>
        <v>97318250</v>
      </c>
      <c r="K5" s="11">
        <f>(H5-I5)/G5</f>
        <v>0.76181650945242474</v>
      </c>
      <c r="L5" s="14" t="str">
        <f>IF(K5&gt;=75%,"YES",".")</f>
        <v>YES</v>
      </c>
      <c r="M5" s="15">
        <f>IF(E5&lt;5%,1800000,750000)</f>
        <v>1800000</v>
      </c>
      <c r="N5" s="16">
        <v>791065</v>
      </c>
      <c r="O5" s="11">
        <f>(N5-D5)/D5</f>
        <v>-0.10208286038592508</v>
      </c>
    </row>
    <row r="6" spans="1:24" x14ac:dyDescent="0.3">
      <c r="A6" s="8" t="s">
        <v>3</v>
      </c>
      <c r="B6" s="9">
        <v>1145000</v>
      </c>
      <c r="C6" s="9">
        <v>86400</v>
      </c>
      <c r="D6" s="10">
        <f t="shared" ref="D6:D9" si="0">B6-C6</f>
        <v>1058600</v>
      </c>
      <c r="E6" s="11">
        <f t="shared" ref="E6:E9" si="1">C6/B6</f>
        <v>7.54585152838428E-2</v>
      </c>
      <c r="F6" s="12">
        <v>170</v>
      </c>
      <c r="G6" s="13">
        <f t="shared" ref="G6:G9" si="2">D6*F6</f>
        <v>179962000</v>
      </c>
      <c r="H6" s="13">
        <f t="shared" ref="H6:H9" si="3">G6-C6*(F6+0.75)</f>
        <v>165209200</v>
      </c>
      <c r="I6" s="12">
        <v>54870900</v>
      </c>
      <c r="J6" s="13">
        <f t="shared" ref="J6:J9" si="4">H6-I6</f>
        <v>110338300</v>
      </c>
      <c r="K6" s="11">
        <f t="shared" ref="K6:K11" si="5">(H6-I6)/G6</f>
        <v>0.6131199919983108</v>
      </c>
      <c r="L6" s="14" t="str">
        <f t="shared" ref="L6:L9" si="6">IF(K6&gt;=75%,"YES",".")</f>
        <v>.</v>
      </c>
      <c r="M6" s="15">
        <f t="shared" ref="M6:M9" si="7">IF(E6&lt;5%,1800000,750000)</f>
        <v>750000</v>
      </c>
      <c r="N6" s="16">
        <v>1127409</v>
      </c>
      <c r="O6" s="11">
        <f t="shared" ref="O6:O11" si="8">(N6-D6)/D6</f>
        <v>6.5000000000000002E-2</v>
      </c>
    </row>
    <row r="7" spans="1:24" x14ac:dyDescent="0.3">
      <c r="A7" s="8" t="s">
        <v>4</v>
      </c>
      <c r="B7" s="9">
        <v>642700</v>
      </c>
      <c r="C7" s="9">
        <v>13950</v>
      </c>
      <c r="D7" s="10">
        <f t="shared" si="0"/>
        <v>628750</v>
      </c>
      <c r="E7" s="11">
        <f t="shared" si="1"/>
        <v>2.1705305741403454E-2</v>
      </c>
      <c r="F7" s="12">
        <v>210</v>
      </c>
      <c r="G7" s="13">
        <f t="shared" si="2"/>
        <v>132037500</v>
      </c>
      <c r="H7" s="13">
        <f t="shared" si="3"/>
        <v>129097537.5</v>
      </c>
      <c r="I7" s="12">
        <v>26890700</v>
      </c>
      <c r="J7" s="13">
        <f t="shared" si="4"/>
        <v>102206837.5</v>
      </c>
      <c r="K7" s="11">
        <f t="shared" si="5"/>
        <v>0.77407431600870968</v>
      </c>
      <c r="L7" s="14" t="str">
        <f t="shared" si="6"/>
        <v>YES</v>
      </c>
      <c r="M7" s="15">
        <f t="shared" si="7"/>
        <v>1800000</v>
      </c>
      <c r="N7" s="16">
        <v>540725</v>
      </c>
      <c r="O7" s="11">
        <f t="shared" si="8"/>
        <v>-0.14000000000000001</v>
      </c>
    </row>
    <row r="8" spans="1:24" x14ac:dyDescent="0.3">
      <c r="A8" s="8" t="s">
        <v>5</v>
      </c>
      <c r="B8" s="9">
        <v>490680</v>
      </c>
      <c r="C8" s="9">
        <v>9540</v>
      </c>
      <c r="D8" s="10">
        <f t="shared" si="0"/>
        <v>481140</v>
      </c>
      <c r="E8" s="11">
        <f t="shared" si="1"/>
        <v>1.9442406456346296E-2</v>
      </c>
      <c r="F8" s="12">
        <v>98</v>
      </c>
      <c r="G8" s="13">
        <f t="shared" si="2"/>
        <v>47151720</v>
      </c>
      <c r="H8" s="13">
        <f t="shared" si="3"/>
        <v>46209645</v>
      </c>
      <c r="I8" s="12">
        <v>11245780</v>
      </c>
      <c r="J8" s="13">
        <f t="shared" si="4"/>
        <v>34963865</v>
      </c>
      <c r="K8" s="11">
        <f t="shared" si="5"/>
        <v>0.74151833697689074</v>
      </c>
      <c r="L8" s="14" t="str">
        <f t="shared" si="6"/>
        <v>.</v>
      </c>
      <c r="M8" s="15">
        <f t="shared" si="7"/>
        <v>1800000</v>
      </c>
      <c r="N8" s="16">
        <v>492206</v>
      </c>
      <c r="O8" s="11">
        <f t="shared" si="8"/>
        <v>2.2999542752629172E-2</v>
      </c>
    </row>
    <row r="9" spans="1:24" x14ac:dyDescent="0.3">
      <c r="A9" s="8" t="s">
        <v>6</v>
      </c>
      <c r="B9" s="9">
        <v>998860</v>
      </c>
      <c r="C9" s="9">
        <v>54860</v>
      </c>
      <c r="D9" s="10">
        <f t="shared" si="0"/>
        <v>944000</v>
      </c>
      <c r="E9" s="11">
        <f t="shared" si="1"/>
        <v>5.4922611777426265E-2</v>
      </c>
      <c r="F9" s="12">
        <v>125</v>
      </c>
      <c r="G9" s="13">
        <f t="shared" si="2"/>
        <v>118000000</v>
      </c>
      <c r="H9" s="13">
        <f t="shared" si="3"/>
        <v>111101355</v>
      </c>
      <c r="I9" s="12">
        <v>39670900</v>
      </c>
      <c r="J9" s="13">
        <f t="shared" si="4"/>
        <v>71430455</v>
      </c>
      <c r="K9" s="11">
        <f t="shared" si="5"/>
        <v>0.60534283898305086</v>
      </c>
      <c r="L9" s="14" t="str">
        <f t="shared" si="6"/>
        <v>.</v>
      </c>
      <c r="M9" s="15">
        <f t="shared" si="7"/>
        <v>750000</v>
      </c>
      <c r="N9" s="16">
        <v>900576</v>
      </c>
      <c r="O9" s="11">
        <f t="shared" si="8"/>
        <v>-4.5999999999999999E-2</v>
      </c>
    </row>
    <row r="11" spans="1:24" x14ac:dyDescent="0.3">
      <c r="A11" s="29" t="s">
        <v>35</v>
      </c>
      <c r="B11" s="37">
        <f>SUM(B5:B9)</f>
        <v>4187240</v>
      </c>
      <c r="C11" s="37">
        <f t="shared" ref="C11:N11" si="9">SUM(C5:C9)</f>
        <v>193750</v>
      </c>
      <c r="D11" s="37">
        <f t="shared" si="9"/>
        <v>3993490</v>
      </c>
      <c r="E11" s="38">
        <f>C11/B11</f>
        <v>4.6271529694978074E-2</v>
      </c>
      <c r="F11" s="39"/>
      <c r="G11" s="37">
        <f t="shared" si="9"/>
        <v>604896220</v>
      </c>
      <c r="H11" s="13">
        <f t="shared" si="9"/>
        <v>575135987.5</v>
      </c>
      <c r="I11" s="13">
        <f t="shared" si="9"/>
        <v>158878280</v>
      </c>
      <c r="J11" s="13">
        <f t="shared" si="9"/>
        <v>416257707.5</v>
      </c>
      <c r="K11" s="38">
        <f t="shared" si="5"/>
        <v>0.68814731145121055</v>
      </c>
      <c r="L11" s="40"/>
      <c r="M11" s="13">
        <f t="shared" si="9"/>
        <v>6900000</v>
      </c>
      <c r="N11" s="37">
        <f t="shared" si="9"/>
        <v>3851981</v>
      </c>
      <c r="O11" s="38">
        <f t="shared" si="8"/>
        <v>-3.54349203328417E-2</v>
      </c>
    </row>
    <row r="12" spans="1:24" x14ac:dyDescent="0.3">
      <c r="A12" s="29" t="s">
        <v>54</v>
      </c>
      <c r="B12" s="37">
        <f>AVERAGE(B5:B9)</f>
        <v>837448</v>
      </c>
      <c r="C12" s="37">
        <f t="shared" ref="C12:O12" si="10">AVERAGE(C5:C9)</f>
        <v>38750</v>
      </c>
      <c r="D12" s="37">
        <f t="shared" si="10"/>
        <v>798698</v>
      </c>
      <c r="E12" s="11">
        <f t="shared" si="10"/>
        <v>4.067939422543014E-2</v>
      </c>
      <c r="F12" s="13">
        <f t="shared" si="10"/>
        <v>149.6</v>
      </c>
      <c r="G12" s="37">
        <f t="shared" si="10"/>
        <v>120979244</v>
      </c>
      <c r="H12" s="13">
        <f t="shared" si="10"/>
        <v>115027197.5</v>
      </c>
      <c r="I12" s="13">
        <f t="shared" si="10"/>
        <v>31775656</v>
      </c>
      <c r="J12" s="13">
        <f t="shared" si="10"/>
        <v>83251541.5</v>
      </c>
      <c r="K12" s="11">
        <f t="shared" si="10"/>
        <v>0.69917439868387732</v>
      </c>
      <c r="L12" s="40"/>
      <c r="M12" s="13">
        <f t="shared" si="10"/>
        <v>1380000</v>
      </c>
      <c r="N12" s="37">
        <f t="shared" si="10"/>
        <v>770396.2</v>
      </c>
      <c r="O12" s="11">
        <f t="shared" si="10"/>
        <v>-4.0016663526659182E-2</v>
      </c>
    </row>
  </sheetData>
  <conditionalFormatting sqref="E5:E9">
    <cfRule type="cellIs" dxfId="4" priority="5" operator="between">
      <formula>0.03</formula>
      <formula>0.06</formula>
    </cfRule>
    <cfRule type="cellIs" dxfId="3" priority="6" operator="lessThan">
      <formula>0.03</formula>
    </cfRule>
    <cfRule type="cellIs" dxfId="2" priority="7" operator="greaterThan">
      <formula>0.06</formula>
    </cfRule>
  </conditionalFormatting>
  <conditionalFormatting sqref="K5:K9">
    <cfRule type="cellIs" dxfId="1" priority="3" operator="greaterThanOrEqual">
      <formula>0.7</formula>
    </cfRule>
    <cfRule type="cellIs" dxfId="0" priority="4" operator="lessThan">
      <formula>0.7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V12"/>
  <sheetViews>
    <sheetView tabSelected="1" workbookViewId="0">
      <selection activeCell="J4" sqref="J4"/>
    </sheetView>
  </sheetViews>
  <sheetFormatPr defaultRowHeight="14.4" x14ac:dyDescent="0.3"/>
  <cols>
    <col min="2" max="3" width="10.5546875" bestFit="1" customWidth="1"/>
    <col min="4" max="4" width="6.44140625" bestFit="1" customWidth="1"/>
    <col min="5" max="5" width="10.5546875" bestFit="1" customWidth="1"/>
    <col min="7" max="7" width="10.5546875" bestFit="1" customWidth="1"/>
    <col min="8" max="8" width="15.88671875" bestFit="1" customWidth="1"/>
    <col min="10" max="10" width="10.5546875" bestFit="1" customWidth="1"/>
    <col min="11" max="11" width="11.6640625" customWidth="1"/>
    <col min="12" max="12" width="10.5546875" bestFit="1" customWidth="1"/>
    <col min="14" max="14" width="10.5546875" customWidth="1"/>
    <col min="15" max="15" width="9.109375" customWidth="1"/>
    <col min="16" max="16" width="11.6640625" customWidth="1"/>
  </cols>
  <sheetData>
    <row r="1" spans="1:22" x14ac:dyDescent="0.3">
      <c r="A1" s="6" t="str">
        <f>Shipments!A1</f>
        <v>SenCol Incorporated</v>
      </c>
      <c r="E1" s="6" t="s">
        <v>59</v>
      </c>
      <c r="H1" s="1">
        <f ca="1">TODAY()</f>
        <v>46142</v>
      </c>
    </row>
    <row r="3" spans="1:22" x14ac:dyDescent="0.3">
      <c r="A3" s="21" t="str">
        <f>Shipments!A3</f>
        <v>Product</v>
      </c>
      <c r="B3" s="22">
        <f>Shipments!D3</f>
        <v>2015</v>
      </c>
      <c r="C3" s="22">
        <f>Shipments!N3</f>
        <v>2016</v>
      </c>
      <c r="D3" s="22" t="str">
        <f>Shipments!F3</f>
        <v>Sell</v>
      </c>
      <c r="E3" s="22">
        <v>2017</v>
      </c>
      <c r="F3" s="22">
        <v>2017</v>
      </c>
      <c r="G3" s="22">
        <v>2018</v>
      </c>
      <c r="H3" s="22">
        <v>2018</v>
      </c>
      <c r="I3" s="22">
        <v>2018</v>
      </c>
      <c r="J3" s="22">
        <v>2019</v>
      </c>
      <c r="K3" s="22" t="s">
        <v>13</v>
      </c>
      <c r="L3" s="22">
        <v>2019</v>
      </c>
      <c r="N3" s="35" t="s">
        <v>53</v>
      </c>
    </row>
    <row r="4" spans="1:22" x14ac:dyDescent="0.3">
      <c r="A4" s="21" t="str">
        <f>Shipments!A4</f>
        <v>Name</v>
      </c>
      <c r="B4" s="22" t="str">
        <f>Shipments!D4</f>
        <v>Net</v>
      </c>
      <c r="C4" s="22" t="str">
        <f>Shipments!N4</f>
        <v>QTY</v>
      </c>
      <c r="D4" s="22" t="str">
        <f>Shipments!F4</f>
        <v>Price</v>
      </c>
      <c r="E4" s="22" t="s">
        <v>27</v>
      </c>
      <c r="F4" s="22" t="s">
        <v>10</v>
      </c>
      <c r="G4" s="22" t="s">
        <v>27</v>
      </c>
      <c r="H4" s="22" t="s">
        <v>11</v>
      </c>
      <c r="I4" s="22" t="s">
        <v>10</v>
      </c>
      <c r="J4" s="22" t="s">
        <v>27</v>
      </c>
      <c r="K4" s="22" t="s">
        <v>29</v>
      </c>
      <c r="L4" s="22" t="s">
        <v>11</v>
      </c>
      <c r="N4" s="29" t="s">
        <v>10</v>
      </c>
      <c r="O4" s="29" t="s">
        <v>27</v>
      </c>
      <c r="P4" s="30" t="s">
        <v>11</v>
      </c>
    </row>
    <row r="5" spans="1:22" x14ac:dyDescent="0.3">
      <c r="A5" s="8" t="str">
        <f>Shipments!A5</f>
        <v>Fixo</v>
      </c>
      <c r="B5" s="10">
        <f>Shipments!D5</f>
        <v>881000</v>
      </c>
      <c r="C5" s="10">
        <f>Shipments!N5</f>
        <v>791065</v>
      </c>
      <c r="D5" s="23">
        <f>Shipments!F5</f>
        <v>145</v>
      </c>
      <c r="E5" s="10">
        <f>C5-C5*4%</f>
        <v>759422.4</v>
      </c>
      <c r="F5" s="24">
        <v>3</v>
      </c>
      <c r="G5" s="10">
        <f>IF(F5&gt;=4,E5*1.055,E5*1.015)</f>
        <v>770813.73599999992</v>
      </c>
      <c r="H5" s="25">
        <f>IF(F5&lt;3,1500000,1000000)</f>
        <v>1000000</v>
      </c>
      <c r="I5" s="26">
        <v>4</v>
      </c>
      <c r="J5" s="27">
        <f>VLOOKUP(I5,$N$5:$P$9,2)*G5+G5</f>
        <v>819375.00136799994</v>
      </c>
      <c r="K5" s="11">
        <f>(J5-B5)/B5</f>
        <v>-6.9948920127128333E-2</v>
      </c>
      <c r="L5" s="28">
        <f>VLOOKUP(I5,$N$5:$P$9,3)*J5+125000</f>
        <v>2091500.0032831999</v>
      </c>
      <c r="N5" s="4">
        <v>1</v>
      </c>
      <c r="O5" s="19">
        <v>5.0000000000000001E-3</v>
      </c>
      <c r="P5" s="20">
        <v>0.75</v>
      </c>
    </row>
    <row r="6" spans="1:22" x14ac:dyDescent="0.3">
      <c r="A6" s="8" t="str">
        <f>Shipments!A6</f>
        <v>Galbar</v>
      </c>
      <c r="B6" s="10">
        <f>Shipments!D6</f>
        <v>1058600</v>
      </c>
      <c r="C6" s="10">
        <f>Shipments!N6</f>
        <v>1127409</v>
      </c>
      <c r="D6" s="23">
        <f>Shipments!F6</f>
        <v>170</v>
      </c>
      <c r="E6" s="10">
        <f t="shared" ref="E6:E9" si="0">C6-C6*4%</f>
        <v>1082312.6399999999</v>
      </c>
      <c r="F6" s="24">
        <v>2</v>
      </c>
      <c r="G6" s="10">
        <f t="shared" ref="G6:G9" si="1">IF(F6&gt;=4,E6*1.055,E6*1.015)</f>
        <v>1098547.3295999998</v>
      </c>
      <c r="H6" s="25">
        <f t="shared" ref="H6:H9" si="2">IF(F6&lt;3,1500000,1000000)</f>
        <v>1500000</v>
      </c>
      <c r="I6" s="26">
        <v>5</v>
      </c>
      <c r="J6" s="27">
        <f>VLOOKUP(I6,$N$5:$P$9,2)*G6+G6</f>
        <v>1180938.3793199998</v>
      </c>
      <c r="K6" s="11">
        <f t="shared" ref="K6:K9" si="3">(J6-B6)/B6</f>
        <v>0.11556619999999984</v>
      </c>
      <c r="L6" s="28">
        <f>VLOOKUP(I6,$N$5:$P$9,3)*J6+125000</f>
        <v>3667815.1379599995</v>
      </c>
      <c r="N6" s="4">
        <v>2</v>
      </c>
      <c r="O6" s="19">
        <v>1.4E-2</v>
      </c>
      <c r="P6" s="20">
        <v>1.1499999999999999</v>
      </c>
    </row>
    <row r="7" spans="1:22" x14ac:dyDescent="0.3">
      <c r="A7" s="8" t="str">
        <f>Shipments!A7</f>
        <v>Wexit</v>
      </c>
      <c r="B7" s="10">
        <f>Shipments!D7</f>
        <v>628750</v>
      </c>
      <c r="C7" s="10">
        <f>Shipments!N7</f>
        <v>540725</v>
      </c>
      <c r="D7" s="23">
        <f>Shipments!F7</f>
        <v>210</v>
      </c>
      <c r="E7" s="10">
        <f t="shared" si="0"/>
        <v>519096</v>
      </c>
      <c r="F7" s="24">
        <v>5</v>
      </c>
      <c r="G7" s="10">
        <f t="shared" si="1"/>
        <v>547646.27999999991</v>
      </c>
      <c r="H7" s="25">
        <f t="shared" si="2"/>
        <v>1000000</v>
      </c>
      <c r="I7" s="26">
        <v>3</v>
      </c>
      <c r="J7" s="27">
        <f>VLOOKUP(I7,$N$5:$P$9,2)*G7+G7</f>
        <v>562980.37583999988</v>
      </c>
      <c r="K7" s="11">
        <f t="shared" si="3"/>
        <v>-0.10460377600000019</v>
      </c>
      <c r="L7" s="28">
        <f>VLOOKUP(I7,$N$5:$P$9,3)*J7+125000</f>
        <v>1138364.6765119997</v>
      </c>
      <c r="N7" s="4">
        <v>3</v>
      </c>
      <c r="O7" s="19">
        <v>2.8000000000000001E-2</v>
      </c>
      <c r="P7" s="20">
        <v>1.8</v>
      </c>
    </row>
    <row r="8" spans="1:22" x14ac:dyDescent="0.3">
      <c r="A8" s="8" t="str">
        <f>Shipments!A8</f>
        <v>Trufir</v>
      </c>
      <c r="B8" s="10">
        <f>Shipments!D8</f>
        <v>481140</v>
      </c>
      <c r="C8" s="10">
        <f>Shipments!N8</f>
        <v>492206</v>
      </c>
      <c r="D8" s="23">
        <f>Shipments!F8</f>
        <v>98</v>
      </c>
      <c r="E8" s="10">
        <f t="shared" si="0"/>
        <v>472517.76</v>
      </c>
      <c r="F8" s="24">
        <v>4</v>
      </c>
      <c r="G8" s="10">
        <f t="shared" si="1"/>
        <v>498506.23679999996</v>
      </c>
      <c r="H8" s="25">
        <f t="shared" si="2"/>
        <v>1000000</v>
      </c>
      <c r="I8" s="26">
        <v>4</v>
      </c>
      <c r="J8" s="27">
        <f>VLOOKUP(I8,$N$5:$P$9,2)*G8+G8</f>
        <v>529912.12971839996</v>
      </c>
      <c r="K8" s="11">
        <f t="shared" si="3"/>
        <v>0.10136785492455409</v>
      </c>
      <c r="L8" s="28">
        <f>VLOOKUP(I8,$N$5:$P$9,3)*J8+125000</f>
        <v>1396789.1113241599</v>
      </c>
      <c r="N8" s="4">
        <v>4</v>
      </c>
      <c r="O8" s="19">
        <v>6.3E-2</v>
      </c>
      <c r="P8" s="20">
        <v>2.4</v>
      </c>
      <c r="Q8" s="7"/>
      <c r="U8" s="7"/>
      <c r="V8" s="7"/>
    </row>
    <row r="9" spans="1:22" x14ac:dyDescent="0.3">
      <c r="A9" s="8" t="str">
        <f>Shipments!A9</f>
        <v>Oxtin</v>
      </c>
      <c r="B9" s="10">
        <f>Shipments!D9</f>
        <v>944000</v>
      </c>
      <c r="C9" s="10">
        <f>Shipments!N9</f>
        <v>900576</v>
      </c>
      <c r="D9" s="23">
        <f>Shipments!F9</f>
        <v>125</v>
      </c>
      <c r="E9" s="10">
        <f t="shared" si="0"/>
        <v>864552.95999999996</v>
      </c>
      <c r="F9" s="24">
        <v>3</v>
      </c>
      <c r="G9" s="10">
        <f t="shared" si="1"/>
        <v>877521.25439999986</v>
      </c>
      <c r="H9" s="25">
        <f t="shared" si="2"/>
        <v>1000000</v>
      </c>
      <c r="I9" s="26">
        <v>3</v>
      </c>
      <c r="J9" s="27">
        <f>VLOOKUP(I9,$N$5:$P$9,2)*G9+G9</f>
        <v>902091.84952319984</v>
      </c>
      <c r="K9" s="11">
        <f t="shared" si="3"/>
        <v>-4.4394227200000171E-2</v>
      </c>
      <c r="L9" s="28">
        <f>VLOOKUP(I9,$N$5:$P$9,3)*J9+125000</f>
        <v>1748765.3291417598</v>
      </c>
      <c r="N9" s="4">
        <v>5</v>
      </c>
      <c r="O9" s="19">
        <v>7.4999999999999997E-2</v>
      </c>
      <c r="P9" s="20">
        <v>3</v>
      </c>
      <c r="Q9" s="7"/>
      <c r="U9" s="7"/>
      <c r="V9" s="7"/>
    </row>
    <row r="10" spans="1:22" x14ac:dyDescent="0.3">
      <c r="Q10" s="5"/>
      <c r="U10" s="3"/>
    </row>
    <row r="11" spans="1:22" x14ac:dyDescent="0.3">
      <c r="Q11" s="5"/>
      <c r="U11" s="3"/>
    </row>
    <row r="12" spans="1:22" x14ac:dyDescent="0.3">
      <c r="Q12" s="5"/>
      <c r="U12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S20"/>
  <sheetViews>
    <sheetView workbookViewId="0">
      <selection activeCell="C23" sqref="C23"/>
    </sheetView>
  </sheetViews>
  <sheetFormatPr defaultRowHeight="14.4" x14ac:dyDescent="0.3"/>
  <cols>
    <col min="2" max="2" width="11" customWidth="1"/>
    <col min="3" max="3" width="14.88671875" customWidth="1"/>
    <col min="4" max="4" width="13.6640625" bestFit="1" customWidth="1"/>
    <col min="5" max="6" width="9.33203125" bestFit="1" customWidth="1"/>
    <col min="7" max="7" width="5.5546875" customWidth="1"/>
    <col min="8" max="8" width="13.44140625" customWidth="1"/>
    <col min="9" max="9" width="10.6640625" customWidth="1"/>
    <col min="10" max="10" width="11.33203125" customWidth="1"/>
    <col min="11" max="11" width="13.88671875" bestFit="1" customWidth="1"/>
    <col min="12" max="12" width="12.77734375" bestFit="1" customWidth="1"/>
    <col min="13" max="13" width="10" customWidth="1"/>
    <col min="14" max="14" width="12.6640625" bestFit="1" customWidth="1"/>
    <col min="15" max="15" width="14.44140625" customWidth="1"/>
    <col min="16" max="16" width="12.33203125" bestFit="1" customWidth="1"/>
    <col min="17" max="17" width="13.6640625" bestFit="1" customWidth="1"/>
    <col min="18" max="18" width="13.33203125" bestFit="1" customWidth="1"/>
    <col min="19" max="19" width="7.109375" bestFit="1" customWidth="1"/>
  </cols>
  <sheetData>
    <row r="1" spans="1:19" x14ac:dyDescent="0.3">
      <c r="A1" s="6" t="str">
        <f>Forecast!A1</f>
        <v>SenCol Incorporated</v>
      </c>
      <c r="E1" s="6" t="s">
        <v>30</v>
      </c>
      <c r="I1" s="1">
        <f ca="1">NOW()</f>
        <v>46142.760548148151</v>
      </c>
      <c r="J1" s="1"/>
    </row>
    <row r="3" spans="1:19" x14ac:dyDescent="0.3">
      <c r="A3" s="47" t="str">
        <f>Forecast!A3</f>
        <v>Product</v>
      </c>
      <c r="B3" s="48" t="s">
        <v>63</v>
      </c>
      <c r="C3" s="48">
        <f>Forecast!J3</f>
        <v>2019</v>
      </c>
      <c r="D3" s="48">
        <v>2019</v>
      </c>
      <c r="E3" s="48" t="s">
        <v>31</v>
      </c>
      <c r="F3" s="48" t="s">
        <v>32</v>
      </c>
      <c r="G3" s="48" t="s">
        <v>33</v>
      </c>
      <c r="H3" s="48" t="s">
        <v>1</v>
      </c>
      <c r="I3" s="48" t="s">
        <v>35</v>
      </c>
      <c r="J3" s="48" t="s">
        <v>35</v>
      </c>
      <c r="K3" s="48" t="s">
        <v>38</v>
      </c>
      <c r="L3" s="48" t="s">
        <v>16</v>
      </c>
      <c r="M3" s="48" t="s">
        <v>38</v>
      </c>
      <c r="N3" s="48" t="s">
        <v>49</v>
      </c>
      <c r="O3" s="48" t="s">
        <v>41</v>
      </c>
      <c r="P3" s="48" t="s">
        <v>43</v>
      </c>
      <c r="Q3" s="48" t="s">
        <v>46</v>
      </c>
      <c r="R3" s="48" t="s">
        <v>47</v>
      </c>
      <c r="S3" s="48" t="s">
        <v>51</v>
      </c>
    </row>
    <row r="4" spans="1:19" x14ac:dyDescent="0.3">
      <c r="A4" s="47" t="str">
        <f>Forecast!A4</f>
        <v>Name</v>
      </c>
      <c r="B4" s="48" t="s">
        <v>64</v>
      </c>
      <c r="C4" s="48" t="str">
        <f>Forecast!J4</f>
        <v>QTY</v>
      </c>
      <c r="D4" s="48" t="s">
        <v>17</v>
      </c>
      <c r="E4" s="48" t="s">
        <v>28</v>
      </c>
      <c r="F4" s="48" t="s">
        <v>28</v>
      </c>
      <c r="G4" s="48" t="s">
        <v>28</v>
      </c>
      <c r="H4" s="48" t="s">
        <v>34</v>
      </c>
      <c r="I4" s="48" t="s">
        <v>36</v>
      </c>
      <c r="J4" s="48" t="s">
        <v>37</v>
      </c>
      <c r="K4" s="48" t="s">
        <v>40</v>
      </c>
      <c r="L4" s="48" t="s">
        <v>34</v>
      </c>
      <c r="M4" s="48" t="s">
        <v>39</v>
      </c>
      <c r="N4" s="48" t="s">
        <v>50</v>
      </c>
      <c r="O4" s="48" t="s">
        <v>42</v>
      </c>
      <c r="P4" s="48" t="s">
        <v>42</v>
      </c>
      <c r="Q4" s="48" t="s">
        <v>42</v>
      </c>
      <c r="R4" s="49"/>
      <c r="S4" s="50"/>
    </row>
    <row r="5" spans="1:19" x14ac:dyDescent="0.3">
      <c r="A5" s="8" t="str">
        <f>Forecast!A5</f>
        <v>Fixo</v>
      </c>
      <c r="B5" s="24">
        <v>4</v>
      </c>
      <c r="C5" s="41">
        <f>Forecast!J5</f>
        <v>819375.00136799994</v>
      </c>
      <c r="D5" s="12">
        <v>126183750</v>
      </c>
      <c r="E5" s="24">
        <v>2.5</v>
      </c>
      <c r="F5" s="24">
        <v>10</v>
      </c>
      <c r="G5" s="24">
        <v>9</v>
      </c>
      <c r="H5" s="42">
        <f>C5*E5</f>
        <v>2048437.50342</v>
      </c>
      <c r="I5" s="42">
        <f>C5/F5</f>
        <v>81937.500136799994</v>
      </c>
      <c r="J5" s="42">
        <f>I5/G5</f>
        <v>9104.1666818666654</v>
      </c>
      <c r="K5" s="51">
        <v>4000</v>
      </c>
      <c r="L5" s="42">
        <f>H5+(I5*4)+(J5*22)</f>
        <v>2576479.1709682667</v>
      </c>
      <c r="M5" s="43">
        <f>ROUNDUP((L5/5000),0)</f>
        <v>516</v>
      </c>
      <c r="N5" s="44">
        <v>43344</v>
      </c>
      <c r="O5" s="52">
        <f>(VLOOKUP(K5,$O$13:$R$18,2,FALSE))*L5</f>
        <v>721414.16787111468</v>
      </c>
      <c r="P5" s="36">
        <f>((VLOOKUP(K5,$O$13:$R$18,3,FALSE))*D5)+(VLOOKUP(K5,$O$13:$R$18,4,FALSE)*N5)</f>
        <v>513837.24</v>
      </c>
      <c r="Q5" s="36">
        <f>SUM(O5:P5)</f>
        <v>1235251.4078711146</v>
      </c>
      <c r="R5" s="45">
        <f>Q5/D5</f>
        <v>9.7893065301285984E-3</v>
      </c>
      <c r="S5" s="46">
        <f>Q5/C5</f>
        <v>1.5075532031228458</v>
      </c>
    </row>
    <row r="6" spans="1:19" x14ac:dyDescent="0.3">
      <c r="A6" s="8" t="str">
        <f>Forecast!A6</f>
        <v>Galbar</v>
      </c>
      <c r="B6" s="24">
        <v>3</v>
      </c>
      <c r="C6" s="41">
        <f>Forecast!J6</f>
        <v>1180938.3793199998</v>
      </c>
      <c r="D6" s="12">
        <v>224378292</v>
      </c>
      <c r="E6" s="24">
        <v>1.3</v>
      </c>
      <c r="F6" s="24">
        <v>15</v>
      </c>
      <c r="G6" s="24">
        <v>14</v>
      </c>
      <c r="H6" s="42">
        <f t="shared" ref="H6:H9" si="0">C6*E6</f>
        <v>1535219.8931159999</v>
      </c>
      <c r="I6" s="42">
        <f t="shared" ref="I6:I9" si="1">C6/F6</f>
        <v>78729.225287999987</v>
      </c>
      <c r="J6" s="42">
        <f t="shared" ref="J6:J9" si="2">I6/G6</f>
        <v>5623.5160919999989</v>
      </c>
      <c r="K6" s="51">
        <v>1800</v>
      </c>
      <c r="L6" s="42">
        <f t="shared" ref="L6:L9" si="3">H6+(I6*4)+(J6*22)</f>
        <v>1973854.1482919999</v>
      </c>
      <c r="M6" s="43">
        <f t="shared" ref="M6:M9" si="4">ROUNDUP((L6/5000),0)</f>
        <v>395</v>
      </c>
      <c r="N6" s="44">
        <v>37525</v>
      </c>
      <c r="O6" s="52">
        <f t="shared" ref="O6:O9" si="5">(VLOOKUP(K6,$O$13:$R$18,2,FALSE))*L6</f>
        <v>769803.11783388001</v>
      </c>
      <c r="P6" s="36">
        <f t="shared" ref="P6:P9" si="6">((VLOOKUP(K6,$O$13:$R$18,3,FALSE))*D6)+(VLOOKUP(K6,$O$13:$R$18,4,FALSE)*N6)</f>
        <v>1351898.5020000001</v>
      </c>
      <c r="Q6" s="36">
        <f t="shared" ref="Q6:Q9" si="7">SUM(O6:P6)</f>
        <v>2121701.6198338801</v>
      </c>
      <c r="R6" s="45">
        <f t="shared" ref="R6:R9" si="8">Q6/D6</f>
        <v>9.4559130516684749E-3</v>
      </c>
      <c r="S6" s="46">
        <f t="shared" ref="S6:S9" si="9">Q6/C6</f>
        <v>1.7966234792501066</v>
      </c>
    </row>
    <row r="7" spans="1:19" x14ac:dyDescent="0.3">
      <c r="A7" s="8" t="str">
        <f>Forecast!A7</f>
        <v>Wexit</v>
      </c>
      <c r="B7" s="24">
        <v>3</v>
      </c>
      <c r="C7" s="41">
        <f>Forecast!J7</f>
        <v>562980.37583999988</v>
      </c>
      <c r="D7" s="12">
        <v>135115290</v>
      </c>
      <c r="E7" s="24">
        <v>2</v>
      </c>
      <c r="F7" s="24">
        <v>18</v>
      </c>
      <c r="G7" s="24">
        <v>18</v>
      </c>
      <c r="H7" s="42">
        <f t="shared" si="0"/>
        <v>1125960.7516799998</v>
      </c>
      <c r="I7" s="42">
        <f t="shared" si="1"/>
        <v>31276.687546666661</v>
      </c>
      <c r="J7" s="42">
        <f t="shared" si="2"/>
        <v>1737.5937525925922</v>
      </c>
      <c r="K7" s="51">
        <v>2500</v>
      </c>
      <c r="L7" s="42">
        <f t="shared" si="3"/>
        <v>1289294.5644237034</v>
      </c>
      <c r="M7" s="43">
        <f t="shared" si="4"/>
        <v>258</v>
      </c>
      <c r="N7" s="44">
        <v>11094</v>
      </c>
      <c r="O7" s="52">
        <f t="shared" si="5"/>
        <v>528610.77141371835</v>
      </c>
      <c r="P7" s="36">
        <f t="shared" si="6"/>
        <v>812688.66</v>
      </c>
      <c r="Q7" s="36">
        <f t="shared" si="7"/>
        <v>1341299.4314137185</v>
      </c>
      <c r="R7" s="45">
        <f t="shared" si="8"/>
        <v>9.9270736229313383E-3</v>
      </c>
      <c r="S7" s="46">
        <f t="shared" si="9"/>
        <v>2.3824976659486943</v>
      </c>
    </row>
    <row r="8" spans="1:19" x14ac:dyDescent="0.3">
      <c r="A8" s="8" t="str">
        <f>Forecast!A8</f>
        <v>Trufir</v>
      </c>
      <c r="B8" s="24">
        <v>2</v>
      </c>
      <c r="C8" s="41">
        <f>Forecast!J8</f>
        <v>529912.12971839996</v>
      </c>
      <c r="D8" s="12">
        <v>47692092</v>
      </c>
      <c r="E8" s="24">
        <v>3.1</v>
      </c>
      <c r="F8" s="24">
        <v>6</v>
      </c>
      <c r="G8" s="24">
        <v>4</v>
      </c>
      <c r="H8" s="42">
        <f t="shared" si="0"/>
        <v>1642727.6021270398</v>
      </c>
      <c r="I8" s="42">
        <f t="shared" si="1"/>
        <v>88318.688286399993</v>
      </c>
      <c r="J8" s="42">
        <f t="shared" si="2"/>
        <v>22079.672071599998</v>
      </c>
      <c r="K8" s="51">
        <v>4900</v>
      </c>
      <c r="L8" s="42">
        <f t="shared" si="3"/>
        <v>2481755.1408478399</v>
      </c>
      <c r="M8" s="43">
        <f t="shared" si="4"/>
        <v>497</v>
      </c>
      <c r="N8" s="44">
        <v>43239</v>
      </c>
      <c r="O8" s="52">
        <f>(VLOOKUP(K8,$O$13:$R$18,2,FALSE))*L8</f>
        <v>1613140.8415510959</v>
      </c>
      <c r="P8" s="36">
        <f t="shared" si="6"/>
        <v>468640.91399999999</v>
      </c>
      <c r="Q8" s="36">
        <f t="shared" si="7"/>
        <v>2081781.7555510961</v>
      </c>
      <c r="R8" s="45">
        <f t="shared" si="8"/>
        <v>4.3650460029119632E-2</v>
      </c>
      <c r="S8" s="46">
        <f t="shared" si="9"/>
        <v>3.9285414294203331</v>
      </c>
    </row>
    <row r="9" spans="1:19" x14ac:dyDescent="0.3">
      <c r="A9" s="8" t="str">
        <f>Forecast!A9</f>
        <v>Oxtin</v>
      </c>
      <c r="B9" s="24">
        <v>3</v>
      </c>
      <c r="C9" s="41">
        <f>Forecast!J9</f>
        <v>902091.84952319984</v>
      </c>
      <c r="D9" s="12">
        <v>89307093</v>
      </c>
      <c r="E9" s="24">
        <v>1.6</v>
      </c>
      <c r="F9" s="24">
        <v>20</v>
      </c>
      <c r="G9" s="24">
        <v>9</v>
      </c>
      <c r="H9" s="42">
        <f t="shared" si="0"/>
        <v>1443346.9592371199</v>
      </c>
      <c r="I9" s="42">
        <f t="shared" si="1"/>
        <v>45104.592476159989</v>
      </c>
      <c r="J9" s="42">
        <f t="shared" si="2"/>
        <v>5011.6213862399991</v>
      </c>
      <c r="K9" s="51">
        <v>5800</v>
      </c>
      <c r="L9" s="42">
        <f t="shared" si="3"/>
        <v>1734020.9996390399</v>
      </c>
      <c r="M9" s="43">
        <f t="shared" si="4"/>
        <v>347</v>
      </c>
      <c r="N9" s="44">
        <v>14227</v>
      </c>
      <c r="O9" s="52">
        <f t="shared" si="5"/>
        <v>606907.34987366386</v>
      </c>
      <c r="P9" s="36">
        <f t="shared" si="6"/>
        <v>537976.60800000001</v>
      </c>
      <c r="Q9" s="36">
        <f t="shared" si="7"/>
        <v>1144883.9578736639</v>
      </c>
      <c r="R9" s="45">
        <f t="shared" si="8"/>
        <v>1.2819630775280793E-2</v>
      </c>
      <c r="S9" s="46">
        <f t="shared" si="9"/>
        <v>1.269143445291953</v>
      </c>
    </row>
    <row r="12" spans="1:19" x14ac:dyDescent="0.3">
      <c r="A12" t="s">
        <v>55</v>
      </c>
      <c r="D12" s="10">
        <f>MAX(C5:C9)</f>
        <v>1180938.3793199998</v>
      </c>
      <c r="F12" t="s">
        <v>61</v>
      </c>
      <c r="K12" s="8">
        <f>COUNTIF(N5:N9,"&lt;25000")</f>
        <v>2</v>
      </c>
      <c r="O12" s="35" t="s">
        <v>52</v>
      </c>
    </row>
    <row r="13" spans="1:19" x14ac:dyDescent="0.3">
      <c r="O13" s="22" t="s">
        <v>38</v>
      </c>
      <c r="P13" s="22" t="s">
        <v>48</v>
      </c>
      <c r="Q13" s="22" t="s">
        <v>44</v>
      </c>
      <c r="R13" s="22" t="s">
        <v>45</v>
      </c>
    </row>
    <row r="14" spans="1:19" x14ac:dyDescent="0.3">
      <c r="A14" t="s">
        <v>56</v>
      </c>
      <c r="D14" s="10">
        <f>MIN(C5:C9)</f>
        <v>529912.12971839996</v>
      </c>
      <c r="F14" t="s">
        <v>62</v>
      </c>
      <c r="K14" s="13">
        <f>SUMIF(D5:D9, "&gt;100000000")</f>
        <v>485677332</v>
      </c>
      <c r="O14" s="31">
        <v>1800</v>
      </c>
      <c r="P14" s="32">
        <v>0.39</v>
      </c>
      <c r="Q14" s="33">
        <v>6.0000000000000001E-3</v>
      </c>
      <c r="R14" s="34">
        <v>0.15</v>
      </c>
    </row>
    <row r="15" spans="1:19" x14ac:dyDescent="0.3">
      <c r="D15" s="2"/>
      <c r="O15" s="31">
        <v>2500</v>
      </c>
      <c r="P15" s="32">
        <v>0.41</v>
      </c>
      <c r="Q15" s="33">
        <v>6.0000000000000001E-3</v>
      </c>
      <c r="R15" s="34">
        <v>0.18</v>
      </c>
    </row>
    <row r="16" spans="1:19" x14ac:dyDescent="0.3">
      <c r="A16" t="s">
        <v>57</v>
      </c>
      <c r="D16" s="10">
        <f>LARGE(I5:I9,2)</f>
        <v>81937.500136799994</v>
      </c>
      <c r="F16" t="s">
        <v>65</v>
      </c>
      <c r="K16" s="8">
        <f>MODE(B5:B9)</f>
        <v>3</v>
      </c>
      <c r="O16" s="31">
        <v>4000</v>
      </c>
      <c r="P16" s="32">
        <v>0.28000000000000003</v>
      </c>
      <c r="Q16" s="33">
        <v>4.0000000000000001E-3</v>
      </c>
      <c r="R16" s="34">
        <v>0.21</v>
      </c>
    </row>
    <row r="17" spans="1:18" x14ac:dyDescent="0.3">
      <c r="D17" s="2"/>
      <c r="O17" s="31">
        <v>4900</v>
      </c>
      <c r="P17" s="32">
        <v>0.65</v>
      </c>
      <c r="Q17" s="33">
        <v>9.4999999999999998E-3</v>
      </c>
      <c r="R17" s="34">
        <v>0.36</v>
      </c>
    </row>
    <row r="18" spans="1:18" x14ac:dyDescent="0.3">
      <c r="A18" t="s">
        <v>58</v>
      </c>
      <c r="D18" s="10">
        <f>SMALL(I5:I9,3)</f>
        <v>78729.225287999987</v>
      </c>
      <c r="F18" t="s">
        <v>66</v>
      </c>
      <c r="K18" s="43">
        <f>MEDIAN(M5:M9)</f>
        <v>395</v>
      </c>
      <c r="O18" s="31">
        <v>5800</v>
      </c>
      <c r="P18" s="32">
        <v>0.35</v>
      </c>
      <c r="Q18" s="33">
        <v>6.0000000000000001E-3</v>
      </c>
      <c r="R18" s="34">
        <v>0.15</v>
      </c>
    </row>
    <row r="20" spans="1:18" x14ac:dyDescent="0.3">
      <c r="A20" t="s">
        <v>67</v>
      </c>
      <c r="D20" s="11">
        <f>AVERAGE(Q5:Q9)/AVERAGE(D5:D9)</f>
        <v>1.2727183306550602E-2</v>
      </c>
      <c r="F20" t="s">
        <v>68</v>
      </c>
      <c r="K20" s="36">
        <f>SUM(Q5:Q9)*1.15</f>
        <v>9113655.8984249923</v>
      </c>
    </row>
  </sheetData>
  <sortState xmlns:xlrd2="http://schemas.microsoft.com/office/spreadsheetml/2017/richdata2" ref="O14:O18">
    <sortCondition ref="O13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Forecast</vt:lpstr>
      <vt:lpstr>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Patel</dc:creator>
  <cp:lastModifiedBy>Mushfika Rahman</cp:lastModifiedBy>
  <dcterms:created xsi:type="dcterms:W3CDTF">2016-11-24T20:06:39Z</dcterms:created>
  <dcterms:modified xsi:type="dcterms:W3CDTF">2026-04-30T22:15:47Z</dcterms:modified>
</cp:coreProperties>
</file>